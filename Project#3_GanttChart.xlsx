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varga\Downloads\"/>
    </mc:Choice>
  </mc:AlternateContent>
  <xr:revisionPtr revIDLastSave="0" documentId="8_{4D9A249F-25C6-4BC5-A33E-1AE0A69EBA39}" xr6:coauthVersionLast="47" xr6:coauthVersionMax="47" xr10:uidLastSave="{00000000-0000-0000-0000-000000000000}"/>
  <bookViews>
    <workbookView xWindow="-93" yWindow="-93" windowWidth="21520" windowHeight="12800" xr2:uid="{00000000-000D-0000-FFFF-FFFF00000000}"/>
  </bookViews>
  <sheets>
    <sheet name="Project schedule" sheetId="11" r:id="rId1"/>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 i="11" l="1"/>
  <c r="H7" i="11"/>
  <c r="E9" i="11" l="1"/>
  <c r="E24" i="11" s="1"/>
  <c r="E23" i="11" l="1"/>
  <c r="E22" i="11"/>
  <c r="E19" i="11"/>
  <c r="E20" i="11"/>
  <c r="E17" i="11"/>
  <c r="E18" i="11"/>
  <c r="E14" i="11"/>
  <c r="E16" i="11"/>
  <c r="E12" i="11"/>
  <c r="E13" i="11"/>
  <c r="F24" i="11"/>
  <c r="F22" i="11"/>
  <c r="F23" i="11"/>
  <c r="F19" i="11"/>
  <c r="F20" i="11"/>
  <c r="F17" i="11"/>
  <c r="F18" i="11"/>
  <c r="F14" i="11"/>
  <c r="F16" i="11"/>
  <c r="F12" i="11"/>
  <c r="F13" i="11"/>
  <c r="F9" i="11"/>
  <c r="F10" i="11"/>
  <c r="I5" i="11"/>
  <c r="H26" i="11"/>
  <c r="H25" i="11"/>
  <c r="H21" i="11"/>
  <c r="H15" i="11"/>
  <c r="H11" i="11"/>
  <c r="H8" i="11"/>
  <c r="E10" i="11" l="1"/>
  <c r="H10" i="11" s="1"/>
  <c r="H9" i="11"/>
  <c r="I6" i="11"/>
  <c r="H16" i="11" l="1"/>
  <c r="H20" i="11"/>
  <c r="H17" i="11"/>
  <c r="H24" i="11"/>
  <c r="H22" i="11"/>
  <c r="H18" i="11"/>
  <c r="H12" i="11"/>
  <c r="J5" i="11"/>
  <c r="K5" i="11" s="1"/>
  <c r="L5" i="11" s="1"/>
  <c r="M5" i="11" s="1"/>
  <c r="N5" i="11" s="1"/>
  <c r="O5" i="11" s="1"/>
  <c r="P5" i="11" s="1"/>
  <c r="I4" i="11"/>
  <c r="H23" i="11" l="1"/>
  <c r="H19" i="11"/>
  <c r="H13" i="11"/>
  <c r="P4" i="11"/>
  <c r="Q5" i="11"/>
  <c r="R5" i="11" s="1"/>
  <c r="S5" i="11" s="1"/>
  <c r="T5" i="11" s="1"/>
  <c r="U5" i="11" s="1"/>
  <c r="V5" i="11" s="1"/>
  <c r="W5" i="11" s="1"/>
  <c r="J6" i="11"/>
  <c r="H14" i="11" l="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<sst xmlns="http://schemas.openxmlformats.org/spreadsheetml/2006/main" count="44" uniqueCount="31">
  <si>
    <t>Project start:</t>
  </si>
  <si>
    <t>VanArsdel, Ltd.</t>
  </si>
  <si>
    <t>Display week:</t>
  </si>
  <si>
    <t>SIMPLE GANTT CHART by Vertex42.com</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</si>
  <si>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</si>
  <si>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</si>
  <si>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</si>
  <si>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</si>
  <si>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</si>
  <si>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</si>
  <si>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</si>
  <si>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Planning for function development</t>
  </si>
  <si>
    <t>Draft functions in Python</t>
  </si>
  <si>
    <t>Execution</t>
  </si>
  <si>
    <t>Monitor progress</t>
  </si>
  <si>
    <t>Evaluation</t>
  </si>
  <si>
    <t>Evaluate progress</t>
  </si>
  <si>
    <t>Gather feedback</t>
  </si>
  <si>
    <t>Insert new rows ABOVE this one</t>
  </si>
  <si>
    <t>CIVE 202 Project #3</t>
  </si>
  <si>
    <t>Eddie Vargas</t>
  </si>
  <si>
    <t>Project Planning Gantt Chart</t>
  </si>
  <si>
    <t>Problem #2 Sequencial User Prompts</t>
  </si>
  <si>
    <t>Problem #1 Translate Excel Logic Python</t>
  </si>
  <si>
    <t>Problem #3 Calculate Mix Designs</t>
  </si>
  <si>
    <t xml:space="preserve">Data Cleaning </t>
  </si>
  <si>
    <t>Testing and Validation</t>
  </si>
  <si>
    <t>Technical Report</t>
  </si>
  <si>
    <t>SOW</t>
  </si>
  <si>
    <t>ACD</t>
  </si>
  <si>
    <t>Calculate Mix Designs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</si>
</sst>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6"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6"/>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9"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0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9" fillId="0" borderId="0" xfId="3"/>
    <xf numFmtId="0" fontId="9" fillId="0" borderId="0" xfId="3" applyAlignment="1">
      <alignment wrapText="1"/>
    </xf>
    <xf numFmtId="0" fontId="9" fillId="0" borderId="0" xfId="0" applyFont="1" applyAlignment="1">
      <alignment horizontal="center"/>
    </xf>
    <xf numFmtId="0" fontId="7" fillId="0" borderId="0" xfId="0" applyFont="1"/>
    <xf numFmtId="0" fontId="3" fillId="0" borderId="0" xfId="0" applyFont="1" applyAlignment="1">
      <alignment horizontal="center" vertical="center"/>
    </xf>
    <xf numFmtId="0" fontId="11" fillId="0" borderId="0" xfId="0" applyFont="1"/>
    <xf numFmtId="0" fontId="10" fillId="0" borderId="0" xfId="0" applyFont="1"/>
    <xf numFmtId="0" fontId="10" fillId="0" borderId="0" xfId="0" applyFont="1" applyAlignment="1">
      <alignment horizontal="center"/>
    </xf>
    <xf numFmtId="0" fontId="10" fillId="0" borderId="0" xfId="0" applyFont="1"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4"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7" fillId="12" borderId="20" xfId="0" applyNumberFormat="1" applyFont="1" applyFill="1" applyBorder="1" applyAlignment="1">
      <alignment horizontal="center" vertical="center"/>
    </xf>
    <xf numFmtId="167" fontId="17" fillId="12" borderId="18" xfId="0" applyNumberFormat="1" applyFont="1" applyFill="1" applyBorder="1" applyAlignment="1">
      <alignment horizontal="center" vertical="center"/>
    </xf>
    <xf numFmtId="167" fontId="17" fillId="12" borderId="19" xfId="0" applyNumberFormat="1" applyFont="1" applyFill="1" applyBorder="1" applyAlignment="1">
      <alignment horizontal="center" vertical="center"/>
    </xf>
    <xf numFmtId="0" fontId="18" fillId="2" borderId="17"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4" fontId="15"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164" fontId="15" fillId="3" borderId="6" xfId="10" applyFont="1" applyFill="1" applyBorder="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164" fontId="15" fillId="3" borderId="7" xfId="10" applyFont="1" applyFill="1" applyBorder="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164" fontId="15"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164" fontId="15" fillId="4" borderId="5" xfId="10" applyFont="1" applyFill="1" applyBorder="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164" fontId="15"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164" fontId="15" fillId="5" borderId="8" xfId="10" applyFont="1" applyFill="1" applyBorder="1">
      <alignment horizontal="center" vertical="center"/>
    </xf>
    <xf numFmtId="0" fontId="19" fillId="9" borderId="0" xfId="0" applyFont="1" applyFill="1" applyAlignment="1">
      <alignment horizontal="left" vertical="center" indent="1"/>
    </xf>
    <xf numFmtId="0" fontId="15" fillId="9" borderId="0" xfId="11" applyFont="1" applyFill="1" applyBorder="1" applyAlignment="1">
      <alignment vertical="center"/>
    </xf>
    <xf numFmtId="9" fontId="1" fillId="9" borderId="0" xfId="2" applyFont="1" applyFill="1" applyBorder="1" applyAlignment="1">
      <alignment horizontal="center" vertical="center"/>
    </xf>
    <xf numFmtId="164" fontId="15"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5" fillId="10" borderId="9" xfId="12" applyFont="1" applyFill="1" applyBorder="1">
      <alignment horizontal="left" vertical="center" indent="2"/>
    </xf>
    <xf numFmtId="0" fontId="15" fillId="10" borderId="9" xfId="11" applyFont="1" applyFill="1" applyBorder="1" applyAlignment="1">
      <alignment vertical="center"/>
    </xf>
    <xf numFmtId="9" fontId="1" fillId="10" borderId="9" xfId="2" applyFont="1" applyFill="1" applyBorder="1" applyAlignment="1">
      <alignment horizontal="center" vertical="center"/>
    </xf>
    <xf numFmtId="164" fontId="15" fillId="10" borderId="9" xfId="10" applyFont="1" applyFill="1" applyBorder="1">
      <alignment horizontal="center"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4"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4" fontId="21"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2" fillId="0" borderId="0" xfId="6" applyFont="1" applyAlignment="1">
      <alignment horizontal="left" vertical="center" indent="1"/>
    </xf>
    <xf numFmtId="0" fontId="22" fillId="0" borderId="0" xfId="7" applyFont="1" applyAlignment="1">
      <alignment horizontal="left" vertical="center" indent="1"/>
    </xf>
    <xf numFmtId="0" fontId="25" fillId="0" borderId="0" xfId="5" applyFont="1" applyAlignment="1">
      <alignment horizontal="left"/>
    </xf>
    <xf numFmtId="166" fontId="15" fillId="2" borderId="13" xfId="0" applyNumberFormat="1" applyFont="1" applyFill="1" applyBorder="1" applyAlignment="1">
      <alignment horizontal="center" vertical="center" wrapText="1"/>
    </xf>
    <xf numFmtId="166" fontId="15" fillId="2" borderId="19" xfId="0" applyNumberFormat="1" applyFont="1" applyFill="1" applyBorder="1" applyAlignment="1">
      <alignment horizontal="center" vertical="center" wrapText="1"/>
    </xf>
    <xf numFmtId="166" fontId="15" fillId="2" borderId="18" xfId="0" applyNumberFormat="1" applyFont="1" applyFill="1" applyBorder="1" applyAlignment="1">
      <alignment horizontal="center" vertical="center" wrapText="1"/>
    </xf>
    <xf numFmtId="0" fontId="16" fillId="11" borderId="16" xfId="0" applyFont="1" applyFill="1" applyBorder="1" applyAlignment="1">
      <alignment horizontal="center" vertical="center"/>
    </xf>
    <xf numFmtId="0" fontId="4" fillId="2" borderId="21" xfId="0" applyFont="1" applyFill="1" applyBorder="1"/>
    <xf numFmtId="0" fontId="23" fillId="0" borderId="0" xfId="0" applyFont="1" applyAlignment="1">
      <alignment horizontal="left"/>
    </xf>
    <xf numFmtId="0" fontId="24" fillId="0" borderId="0" xfId="0" applyFont="1"/>
    <xf numFmtId="165" fontId="23" fillId="0" borderId="0" xfId="9" applyFont="1" applyBorder="1" applyAlignment="1">
      <alignment horizontal="left"/>
    </xf>
    <xf numFmtId="0" fontId="22" fillId="0" borderId="0" xfId="8" applyFont="1" applyAlignment="1">
      <alignment horizontal="left"/>
    </xf>
    <xf numFmtId="0" fontId="4" fillId="0" borderId="0" xfId="0" applyFont="1"/>
    <xf numFmtId="0" fontId="9" fillId="0" borderId="0" xfId="3" applyAlignment="1">
      <alignment wrapText="1"/>
    </xf>
    <xf numFmtId="0" fontId="16"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6"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13</xdr:col>
      <xdr:colOff>190500</xdr:colOff>
      <xdr:row>8</xdr:row>
      <xdr:rowOff>235857</xdr:rowOff>
    </xdr:from>
    <xdr:to>
      <xdr:col>14</xdr:col>
      <xdr:colOff>0</xdr:colOff>
      <xdr:row>11</xdr:row>
      <xdr:rowOff>244929</xdr:rowOff>
    </xdr:to>
    <xdr:cxnSp macro="">
      <xdr:nvCxnSpPr>
        <xdr:cNvPr id="7" name="Straight Arrow Connector 6">
          <a:extLst>
            <a:ext uri="{FF2B5EF4-FFF2-40B4-BE49-F238E27FC236}">
              <a16:creationId xmlns:a16="http://schemas.microsoft.com/office/drawing/2014/main" id="{5A5C5AD8-A552-5096-F7B4-2B5EB85C1F01}"/>
            </a:ext>
          </a:extLst>
        </xdr:cNvPr>
        <xdr:cNvCxnSpPr/>
      </xdr:nvCxnSpPr>
      <xdr:spPr>
        <a:xfrm>
          <a:off x="8763000" y="3283857"/>
          <a:ext cx="9071" cy="22950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72572</xdr:colOff>
      <xdr:row>11</xdr:row>
      <xdr:rowOff>226786</xdr:rowOff>
    </xdr:from>
    <xdr:to>
      <xdr:col>17</xdr:col>
      <xdr:colOff>18143</xdr:colOff>
      <xdr:row>11</xdr:row>
      <xdr:rowOff>226786</xdr:rowOff>
    </xdr:to>
    <xdr:cxnSp macro="">
      <xdr:nvCxnSpPr>
        <xdr:cNvPr id="9" name="Straight Arrow Connector 8">
          <a:extLst>
            <a:ext uri="{FF2B5EF4-FFF2-40B4-BE49-F238E27FC236}">
              <a16:creationId xmlns:a16="http://schemas.microsoft.com/office/drawing/2014/main" id="{2106989D-8401-F400-BCDA-0D45B0AF1229}"/>
            </a:ext>
          </a:extLst>
        </xdr:cNvPr>
        <xdr:cNvCxnSpPr/>
      </xdr:nvCxnSpPr>
      <xdr:spPr>
        <a:xfrm>
          <a:off x="8844643" y="5560786"/>
          <a:ext cx="544286"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127000</xdr:colOff>
      <xdr:row>8</xdr:row>
      <xdr:rowOff>108857</xdr:rowOff>
    </xdr:from>
    <xdr:to>
      <xdr:col>14</xdr:col>
      <xdr:colOff>72572</xdr:colOff>
      <xdr:row>8</xdr:row>
      <xdr:rowOff>281214</xdr:rowOff>
    </xdr:to>
    <xdr:sp macro="" textlink="">
      <xdr:nvSpPr>
        <xdr:cNvPr id="10" name="Star: 5 Points 9">
          <a:extLst>
            <a:ext uri="{FF2B5EF4-FFF2-40B4-BE49-F238E27FC236}">
              <a16:creationId xmlns:a16="http://schemas.microsoft.com/office/drawing/2014/main" id="{04974C3D-8A1A-D303-FCAA-959A72B8E4BC}"/>
            </a:ext>
          </a:extLst>
        </xdr:cNvPr>
        <xdr:cNvSpPr/>
      </xdr:nvSpPr>
      <xdr:spPr>
        <a:xfrm>
          <a:off x="8699500" y="3156857"/>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188686</xdr:colOff>
      <xdr:row>11</xdr:row>
      <xdr:rowOff>116114</xdr:rowOff>
    </xdr:from>
    <xdr:to>
      <xdr:col>17</xdr:col>
      <xdr:colOff>134257</xdr:colOff>
      <xdr:row>11</xdr:row>
      <xdr:rowOff>288471</xdr:rowOff>
    </xdr:to>
    <xdr:sp macro="" textlink="">
      <xdr:nvSpPr>
        <xdr:cNvPr id="11" name="Star: 5 Points 10">
          <a:extLst>
            <a:ext uri="{FF2B5EF4-FFF2-40B4-BE49-F238E27FC236}">
              <a16:creationId xmlns:a16="http://schemas.microsoft.com/office/drawing/2014/main" id="{87D93A7E-18A9-4D10-BEA9-688E025ECC93}"/>
            </a:ext>
          </a:extLst>
        </xdr:cNvPr>
        <xdr:cNvSpPr/>
      </xdr:nvSpPr>
      <xdr:spPr>
        <a:xfrm>
          <a:off x="9359900" y="5450114"/>
          <a:ext cx="145143" cy="172357"/>
        </a:xfrm>
        <a:prstGeom prst="star5">
          <a:avLst/>
        </a:prstGeom>
        <a:solidFill>
          <a:schemeClr val="accent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62" zoomScaleNormal="79" zoomScalePageLayoutView="70" workbookViewId="0">
      <selection activeCell="D25" sqref="D25"/>
    </sheetView>
  </sheetViews>
  <sheetFormatPr defaultColWidth="8.609375" defaultRowHeight="30" customHeight="1" x14ac:dyDescent="0.4"/>
  <cols>
    <col min="1" max="1" width="2.609375" style="7" customWidth="1"/>
    <col min="2" max="2" width="45.38671875" customWidth="1"/>
    <col min="3" max="3" width="16.609375" customWidth="1"/>
    <col min="4" max="4" width="10.609375" customWidth="1"/>
    <col min="5" max="5" width="10.609375" style="2" customWidth="1"/>
    <col min="6" max="6" width="10.609375" customWidth="1"/>
    <col min="7" max="7" width="2.609375" customWidth="1"/>
    <col min="8" max="8" width="6" hidden="1" customWidth="1"/>
    <col min="9" max="65" width="2.609375" customWidth="1"/>
  </cols>
  <sheetData>
    <row r="1" spans="1:64" ht="90" customHeight="1" x14ac:dyDescent="1.65">
      <c r="A1" s="8"/>
      <c r="B1" s="91" t="s">
        <v>19</v>
      </c>
      <c r="C1" s="12"/>
      <c r="D1" s="13"/>
      <c r="E1" s="14"/>
      <c r="F1" s="15"/>
      <c r="H1" s="1"/>
      <c r="I1" s="100" t="s">
        <v>0</v>
      </c>
      <c r="J1" s="101"/>
      <c r="K1" s="101"/>
      <c r="L1" s="101"/>
      <c r="M1" s="101"/>
      <c r="N1" s="101"/>
      <c r="O1" s="101"/>
      <c r="P1" s="18"/>
      <c r="Q1" s="99">
        <f>DATE(2026,2,26)</f>
        <v>46079</v>
      </c>
      <c r="R1" s="98"/>
      <c r="S1" s="98"/>
      <c r="T1" s="98"/>
      <c r="U1" s="98"/>
      <c r="V1" s="98"/>
      <c r="W1" s="98"/>
      <c r="X1" s="98"/>
      <c r="Y1" s="98"/>
      <c r="Z1" s="98"/>
    </row>
    <row r="2" spans="1:64" ht="30" customHeight="1" x14ac:dyDescent="1.05">
      <c r="B2" s="89" t="s">
        <v>1</v>
      </c>
      <c r="C2" s="90" t="s">
        <v>20</v>
      </c>
      <c r="D2" s="16"/>
      <c r="E2" s="17"/>
      <c r="F2" s="16"/>
      <c r="I2" s="100" t="s">
        <v>2</v>
      </c>
      <c r="J2" s="101"/>
      <c r="K2" s="101"/>
      <c r="L2" s="101"/>
      <c r="M2" s="101"/>
      <c r="N2" s="101"/>
      <c r="O2" s="101"/>
      <c r="P2" s="18"/>
      <c r="Q2" s="97">
        <v>1</v>
      </c>
      <c r="R2" s="98"/>
      <c r="S2" s="98"/>
      <c r="T2" s="98"/>
      <c r="U2" s="98"/>
      <c r="V2" s="98"/>
      <c r="W2" s="98"/>
      <c r="X2" s="98"/>
      <c r="Y2" s="98"/>
      <c r="Z2" s="98"/>
    </row>
    <row r="3" spans="1:64" s="20" customFormat="1" ht="30" customHeight="1" x14ac:dyDescent="0.4">
      <c r="A3" s="7"/>
      <c r="B3" s="19" t="s">
        <v>3</v>
      </c>
      <c r="D3" s="21"/>
      <c r="E3" s="22"/>
    </row>
    <row r="4" spans="1:64" s="20" customFormat="1" ht="30" customHeight="1" x14ac:dyDescent="0.4">
      <c r="A4" s="8"/>
      <c r="B4" s="23" t="s">
        <v>4</v>
      </c>
      <c r="E4" s="24"/>
      <c r="I4" s="94">
        <f>I5</f>
        <v>46076</v>
      </c>
      <c r="J4" s="92"/>
      <c r="K4" s="92"/>
      <c r="L4" s="92"/>
      <c r="M4" s="92"/>
      <c r="N4" s="92"/>
      <c r="O4" s="92"/>
      <c r="P4" s="92">
        <f>P5</f>
        <v>46083</v>
      </c>
      <c r="Q4" s="92"/>
      <c r="R4" s="92"/>
      <c r="S4" s="92"/>
      <c r="T4" s="92"/>
      <c r="U4" s="92"/>
      <c r="V4" s="92"/>
      <c r="W4" s="92">
        <f>W5</f>
        <v>46090</v>
      </c>
      <c r="X4" s="92"/>
      <c r="Y4" s="92"/>
      <c r="Z4" s="92"/>
      <c r="AA4" s="92"/>
      <c r="AB4" s="92"/>
      <c r="AC4" s="92"/>
      <c r="AD4" s="92">
        <f>AD5</f>
        <v>46097</v>
      </c>
      <c r="AE4" s="92"/>
      <c r="AF4" s="92"/>
      <c r="AG4" s="92"/>
      <c r="AH4" s="92"/>
      <c r="AI4" s="92"/>
      <c r="AJ4" s="92"/>
      <c r="AK4" s="92">
        <f>AK5</f>
        <v>46104</v>
      </c>
      <c r="AL4" s="92"/>
      <c r="AM4" s="92"/>
      <c r="AN4" s="92"/>
      <c r="AO4" s="92"/>
      <c r="AP4" s="92"/>
      <c r="AQ4" s="92"/>
      <c r="AR4" s="92">
        <f>AR5</f>
        <v>46111</v>
      </c>
      <c r="AS4" s="92"/>
      <c r="AT4" s="92"/>
      <c r="AU4" s="92"/>
      <c r="AV4" s="92"/>
      <c r="AW4" s="92"/>
      <c r="AX4" s="92"/>
      <c r="AY4" s="92">
        <f>AY5</f>
        <v>46118</v>
      </c>
      <c r="AZ4" s="92"/>
      <c r="BA4" s="92"/>
      <c r="BB4" s="92"/>
      <c r="BC4" s="92"/>
      <c r="BD4" s="92"/>
      <c r="BE4" s="92"/>
      <c r="BF4" s="92">
        <f>BF5</f>
        <v>46125</v>
      </c>
      <c r="BG4" s="92"/>
      <c r="BH4" s="92"/>
      <c r="BI4" s="92"/>
      <c r="BJ4" s="92"/>
      <c r="BK4" s="92"/>
      <c r="BL4" s="93"/>
    </row>
    <row r="5" spans="1:64" s="20" customFormat="1" ht="15" customHeight="1" x14ac:dyDescent="0.4">
      <c r="A5" s="102"/>
      <c r="B5" s="103" t="s">
        <v>5</v>
      </c>
      <c r="C5" s="105" t="s">
        <v>6</v>
      </c>
      <c r="D5" s="95" t="s">
        <v>7</v>
      </c>
      <c r="E5" s="95" t="s">
        <v>8</v>
      </c>
      <c r="F5" s="95" t="s">
        <v>9</v>
      </c>
      <c r="I5" s="25">
        <f>Project_Start-WEEKDAY(Project_Start,1)+2+7*(Display_Week-1)</f>
        <v>46076</v>
      </c>
      <c r="J5" s="25">
        <f>I5+1</f>
        <v>46077</v>
      </c>
      <c r="K5" s="25">
        <f t="shared" ref="K5:AX5" si="0">J5+1</f>
        <v>46078</v>
      </c>
      <c r="L5" s="25">
        <f t="shared" si="0"/>
        <v>46079</v>
      </c>
      <c r="M5" s="25">
        <f t="shared" si="0"/>
        <v>46080</v>
      </c>
      <c r="N5" s="25">
        <f t="shared" si="0"/>
        <v>46081</v>
      </c>
      <c r="O5" s="26">
        <f t="shared" si="0"/>
        <v>46082</v>
      </c>
      <c r="P5" s="27">
        <f>O5+1</f>
        <v>46083</v>
      </c>
      <c r="Q5" s="25">
        <f>P5+1</f>
        <v>46084</v>
      </c>
      <c r="R5" s="25">
        <f t="shared" si="0"/>
        <v>46085</v>
      </c>
      <c r="S5" s="25">
        <f t="shared" si="0"/>
        <v>46086</v>
      </c>
      <c r="T5" s="25">
        <f t="shared" si="0"/>
        <v>46087</v>
      </c>
      <c r="U5" s="25">
        <f t="shared" si="0"/>
        <v>46088</v>
      </c>
      <c r="V5" s="26">
        <f t="shared" si="0"/>
        <v>46089</v>
      </c>
      <c r="W5" s="27">
        <f>V5+1</f>
        <v>46090</v>
      </c>
      <c r="X5" s="25">
        <f>W5+1</f>
        <v>46091</v>
      </c>
      <c r="Y5" s="25">
        <f t="shared" si="0"/>
        <v>46092</v>
      </c>
      <c r="Z5" s="25">
        <f t="shared" si="0"/>
        <v>46093</v>
      </c>
      <c r="AA5" s="25">
        <f t="shared" si="0"/>
        <v>46094</v>
      </c>
      <c r="AB5" s="25">
        <f t="shared" si="0"/>
        <v>46095</v>
      </c>
      <c r="AC5" s="26">
        <f t="shared" si="0"/>
        <v>46096</v>
      </c>
      <c r="AD5" s="27">
        <f>AC5+1</f>
        <v>46097</v>
      </c>
      <c r="AE5" s="25">
        <f>AD5+1</f>
        <v>46098</v>
      </c>
      <c r="AF5" s="25">
        <f t="shared" si="0"/>
        <v>46099</v>
      </c>
      <c r="AG5" s="25">
        <f t="shared" si="0"/>
        <v>46100</v>
      </c>
      <c r="AH5" s="25">
        <f t="shared" si="0"/>
        <v>46101</v>
      </c>
      <c r="AI5" s="25">
        <f t="shared" si="0"/>
        <v>46102</v>
      </c>
      <c r="AJ5" s="26">
        <f t="shared" si="0"/>
        <v>46103</v>
      </c>
      <c r="AK5" s="27">
        <f>AJ5+1</f>
        <v>46104</v>
      </c>
      <c r="AL5" s="25">
        <f>AK5+1</f>
        <v>46105</v>
      </c>
      <c r="AM5" s="25">
        <f t="shared" si="0"/>
        <v>46106</v>
      </c>
      <c r="AN5" s="25">
        <f t="shared" si="0"/>
        <v>46107</v>
      </c>
      <c r="AO5" s="25">
        <f t="shared" si="0"/>
        <v>46108</v>
      </c>
      <c r="AP5" s="25">
        <f t="shared" si="0"/>
        <v>46109</v>
      </c>
      <c r="AQ5" s="26">
        <f t="shared" si="0"/>
        <v>46110</v>
      </c>
      <c r="AR5" s="27">
        <f>AQ5+1</f>
        <v>46111</v>
      </c>
      <c r="AS5" s="25">
        <f>AR5+1</f>
        <v>46112</v>
      </c>
      <c r="AT5" s="25">
        <f t="shared" si="0"/>
        <v>46113</v>
      </c>
      <c r="AU5" s="25">
        <f t="shared" si="0"/>
        <v>46114</v>
      </c>
      <c r="AV5" s="25">
        <f t="shared" si="0"/>
        <v>46115</v>
      </c>
      <c r="AW5" s="25">
        <f t="shared" si="0"/>
        <v>46116</v>
      </c>
      <c r="AX5" s="26">
        <f t="shared" si="0"/>
        <v>46117</v>
      </c>
      <c r="AY5" s="27">
        <f>AX5+1</f>
        <v>46118</v>
      </c>
      <c r="AZ5" s="25">
        <f>AY5+1</f>
        <v>46119</v>
      </c>
      <c r="BA5" s="25">
        <f t="shared" ref="BA5:BE5" si="1">AZ5+1</f>
        <v>46120</v>
      </c>
      <c r="BB5" s="25">
        <f t="shared" si="1"/>
        <v>46121</v>
      </c>
      <c r="BC5" s="25">
        <f t="shared" si="1"/>
        <v>46122</v>
      </c>
      <c r="BD5" s="25">
        <f t="shared" si="1"/>
        <v>46123</v>
      </c>
      <c r="BE5" s="26">
        <f t="shared" si="1"/>
        <v>46124</v>
      </c>
      <c r="BF5" s="27">
        <f>BE5+1</f>
        <v>46125</v>
      </c>
      <c r="BG5" s="25">
        <f>BF5+1</f>
        <v>46126</v>
      </c>
      <c r="BH5" s="25">
        <f t="shared" ref="BH5:BL5" si="2">BG5+1</f>
        <v>46127</v>
      </c>
      <c r="BI5" s="25">
        <f t="shared" si="2"/>
        <v>46128</v>
      </c>
      <c r="BJ5" s="25">
        <f t="shared" si="2"/>
        <v>46129</v>
      </c>
      <c r="BK5" s="25">
        <f t="shared" si="2"/>
        <v>46130</v>
      </c>
      <c r="BL5" s="25">
        <f t="shared" si="2"/>
        <v>46131</v>
      </c>
    </row>
    <row r="6" spans="1:64" s="20" customFormat="1" ht="15" customHeight="1" thickBot="1" x14ac:dyDescent="0.45">
      <c r="A6" s="102"/>
      <c r="B6" s="104"/>
      <c r="C6" s="96"/>
      <c r="D6" s="96"/>
      <c r="E6" s="96"/>
      <c r="F6" s="96"/>
      <c r="I6" s="28" t="str">
        <f t="shared" ref="I6:AN6" si="3">LEFT(TEXT(I5,"ddd"),1)</f>
        <v>M</v>
      </c>
      <c r="J6" s="29" t="str">
        <f t="shared" si="3"/>
        <v>T</v>
      </c>
      <c r="K6" s="29" t="str">
        <f t="shared" si="3"/>
        <v>W</v>
      </c>
      <c r="L6" s="29" t="str">
        <f t="shared" si="3"/>
        <v>T</v>
      </c>
      <c r="M6" s="29" t="str">
        <f t="shared" si="3"/>
        <v>F</v>
      </c>
      <c r="N6" s="29" t="str">
        <f t="shared" si="3"/>
        <v>S</v>
      </c>
      <c r="O6" s="29" t="str">
        <f t="shared" si="3"/>
        <v>S</v>
      </c>
      <c r="P6" s="29" t="str">
        <f t="shared" si="3"/>
        <v>M</v>
      </c>
      <c r="Q6" s="29" t="str">
        <f t="shared" si="3"/>
        <v>T</v>
      </c>
      <c r="R6" s="29" t="str">
        <f t="shared" si="3"/>
        <v>W</v>
      </c>
      <c r="S6" s="29" t="str">
        <f t="shared" si="3"/>
        <v>T</v>
      </c>
      <c r="T6" s="29" t="str">
        <f t="shared" si="3"/>
        <v>F</v>
      </c>
      <c r="U6" s="29" t="str">
        <f t="shared" si="3"/>
        <v>S</v>
      </c>
      <c r="V6" s="29" t="str">
        <f t="shared" si="3"/>
        <v>S</v>
      </c>
      <c r="W6" s="29" t="str">
        <f t="shared" si="3"/>
        <v>M</v>
      </c>
      <c r="X6" s="29" t="str">
        <f t="shared" si="3"/>
        <v>T</v>
      </c>
      <c r="Y6" s="29" t="str">
        <f t="shared" si="3"/>
        <v>W</v>
      </c>
      <c r="Z6" s="29" t="str">
        <f t="shared" si="3"/>
        <v>T</v>
      </c>
      <c r="AA6" s="29" t="str">
        <f t="shared" si="3"/>
        <v>F</v>
      </c>
      <c r="AB6" s="29" t="str">
        <f t="shared" si="3"/>
        <v>S</v>
      </c>
      <c r="AC6" s="29" t="str">
        <f t="shared" si="3"/>
        <v>S</v>
      </c>
      <c r="AD6" s="29" t="str">
        <f t="shared" si="3"/>
        <v>M</v>
      </c>
      <c r="AE6" s="29" t="str">
        <f t="shared" si="3"/>
        <v>T</v>
      </c>
      <c r="AF6" s="29" t="str">
        <f t="shared" si="3"/>
        <v>W</v>
      </c>
      <c r="AG6" s="29" t="str">
        <f t="shared" si="3"/>
        <v>T</v>
      </c>
      <c r="AH6" s="29" t="str">
        <f t="shared" si="3"/>
        <v>F</v>
      </c>
      <c r="AI6" s="29" t="str">
        <f t="shared" si="3"/>
        <v>S</v>
      </c>
      <c r="AJ6" s="29" t="str">
        <f t="shared" si="3"/>
        <v>S</v>
      </c>
      <c r="AK6" s="29" t="str">
        <f t="shared" si="3"/>
        <v>M</v>
      </c>
      <c r="AL6" s="29" t="str">
        <f t="shared" si="3"/>
        <v>T</v>
      </c>
      <c r="AM6" s="29" t="str">
        <f t="shared" si="3"/>
        <v>W</v>
      </c>
      <c r="AN6" s="29" t="str">
        <f t="shared" si="3"/>
        <v>T</v>
      </c>
      <c r="AO6" s="29" t="str">
        <f t="shared" ref="AO6:BL6" si="4">LEFT(TEXT(AO5,"ddd"),1)</f>
        <v>F</v>
      </c>
      <c r="AP6" s="29" t="str">
        <f t="shared" si="4"/>
        <v>S</v>
      </c>
      <c r="AQ6" s="29" t="str">
        <f t="shared" si="4"/>
        <v>S</v>
      </c>
      <c r="AR6" s="29" t="str">
        <f t="shared" si="4"/>
        <v>M</v>
      </c>
      <c r="AS6" s="29" t="str">
        <f t="shared" si="4"/>
        <v>T</v>
      </c>
      <c r="AT6" s="29" t="str">
        <f t="shared" si="4"/>
        <v>W</v>
      </c>
      <c r="AU6" s="29" t="str">
        <f t="shared" si="4"/>
        <v>T</v>
      </c>
      <c r="AV6" s="29" t="str">
        <f t="shared" si="4"/>
        <v>F</v>
      </c>
      <c r="AW6" s="29" t="str">
        <f t="shared" si="4"/>
        <v>S</v>
      </c>
      <c r="AX6" s="29" t="str">
        <f t="shared" si="4"/>
        <v>S</v>
      </c>
      <c r="AY6" s="29" t="str">
        <f t="shared" si="4"/>
        <v>M</v>
      </c>
      <c r="AZ6" s="29" t="str">
        <f t="shared" si="4"/>
        <v>T</v>
      </c>
      <c r="BA6" s="29" t="str">
        <f t="shared" si="4"/>
        <v>W</v>
      </c>
      <c r="BB6" s="29" t="str">
        <f t="shared" si="4"/>
        <v>T</v>
      </c>
      <c r="BC6" s="29" t="str">
        <f t="shared" si="4"/>
        <v>F</v>
      </c>
      <c r="BD6" s="29" t="str">
        <f t="shared" si="4"/>
        <v>S</v>
      </c>
      <c r="BE6" s="29" t="str">
        <f t="shared" si="4"/>
        <v>S</v>
      </c>
      <c r="BF6" s="29" t="str">
        <f t="shared" si="4"/>
        <v>M</v>
      </c>
      <c r="BG6" s="29" t="str">
        <f t="shared" si="4"/>
        <v>T</v>
      </c>
      <c r="BH6" s="29" t="str">
        <f t="shared" si="4"/>
        <v>W</v>
      </c>
      <c r="BI6" s="29" t="str">
        <f t="shared" si="4"/>
        <v>T</v>
      </c>
      <c r="BJ6" s="29" t="str">
        <f t="shared" si="4"/>
        <v>F</v>
      </c>
      <c r="BK6" s="29" t="str">
        <f t="shared" si="4"/>
        <v>S</v>
      </c>
      <c r="BL6" s="30" t="str">
        <f t="shared" si="4"/>
        <v>S</v>
      </c>
    </row>
    <row r="7" spans="1:64" s="20" customFormat="1" ht="30" hidden="1" customHeight="1" thickBot="1" x14ac:dyDescent="0.45">
      <c r="A7" s="7" t="s">
        <v>10</v>
      </c>
      <c r="B7" s="31"/>
      <c r="C7" s="32"/>
      <c r="D7" s="31"/>
      <c r="E7" s="31"/>
      <c r="F7" s="31"/>
      <c r="H7" s="20" t="str">
        <f>IF(OR(ISBLANK(task_start),ISBLANK(task_end)),"",task_end-task_start+1)</f>
        <v/>
      </c>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row>
    <row r="8" spans="1:64" s="40" customFormat="1" ht="30" customHeight="1" thickBot="1" x14ac:dyDescent="0.45">
      <c r="A8" s="8"/>
      <c r="B8" s="34" t="s">
        <v>11</v>
      </c>
      <c r="C8" s="35"/>
      <c r="D8" s="36"/>
      <c r="E8" s="37"/>
      <c r="F8" s="38"/>
      <c r="G8" s="11"/>
      <c r="H8" s="5" t="str">
        <f t="shared" ref="H8:H26" si="5">IF(OR(ISBLANK(task_start),ISBLANK(task_end)),"",task_end-task_start+1)</f>
        <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row>
    <row r="9" spans="1:64" s="40" customFormat="1" ht="30" customHeight="1" thickBot="1" x14ac:dyDescent="0.45">
      <c r="A9" s="8"/>
      <c r="B9" s="41" t="s">
        <v>21</v>
      </c>
      <c r="C9" s="42" t="s">
        <v>20</v>
      </c>
      <c r="D9" s="43">
        <v>1</v>
      </c>
      <c r="E9" s="44">
        <f>Project_Start</f>
        <v>46079</v>
      </c>
      <c r="F9" s="44">
        <f>E9+30</f>
        <v>46109</v>
      </c>
      <c r="G9" s="11"/>
      <c r="H9" s="5">
        <f t="shared" si="5"/>
        <v>31</v>
      </c>
      <c r="I9" s="45"/>
      <c r="J9" s="45"/>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row>
    <row r="10" spans="1:64" s="40" customFormat="1" ht="30" customHeight="1" thickBot="1" x14ac:dyDescent="0.45">
      <c r="A10" s="8"/>
      <c r="B10" s="46" t="s">
        <v>30</v>
      </c>
      <c r="C10" s="42" t="s">
        <v>20</v>
      </c>
      <c r="D10" s="47">
        <v>1</v>
      </c>
      <c r="E10" s="48">
        <f>E13</f>
        <v>46084</v>
      </c>
      <c r="F10" s="48">
        <f>E9+33</f>
        <v>46112</v>
      </c>
      <c r="G10" s="11"/>
      <c r="H10" s="5">
        <f t="shared" si="5"/>
        <v>29</v>
      </c>
      <c r="I10" s="45"/>
      <c r="J10" s="45"/>
      <c r="K10" s="45"/>
      <c r="L10" s="45"/>
      <c r="M10" s="45"/>
      <c r="N10" s="45"/>
      <c r="O10" s="45"/>
      <c r="P10" s="45"/>
      <c r="Q10" s="45"/>
      <c r="R10" s="45"/>
      <c r="S10" s="45"/>
      <c r="T10" s="45"/>
      <c r="U10" s="49"/>
      <c r="V10" s="49"/>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5"/>
      <c r="BJ10" s="45"/>
      <c r="BK10" s="45"/>
      <c r="BL10" s="45"/>
    </row>
    <row r="11" spans="1:64" s="40" customFormat="1" ht="30" customHeight="1" thickBot="1" x14ac:dyDescent="0.45">
      <c r="A11" s="8"/>
      <c r="B11" s="50" t="s">
        <v>12</v>
      </c>
      <c r="C11" s="51"/>
      <c r="D11" s="52"/>
      <c r="E11" s="53"/>
      <c r="F11" s="54"/>
      <c r="G11" s="11"/>
      <c r="H11" s="5" t="str">
        <f t="shared" si="5"/>
        <v/>
      </c>
    </row>
    <row r="12" spans="1:64" s="40" customFormat="1" ht="30" customHeight="1" thickBot="1" x14ac:dyDescent="0.45">
      <c r="A12" s="8"/>
      <c r="B12" s="55" t="s">
        <v>23</v>
      </c>
      <c r="C12" s="56" t="s">
        <v>20</v>
      </c>
      <c r="D12" s="57">
        <v>1</v>
      </c>
      <c r="E12" s="58">
        <f>E9+5</f>
        <v>46084</v>
      </c>
      <c r="F12" s="58">
        <f>E9+33</f>
        <v>46112</v>
      </c>
      <c r="G12" s="11"/>
      <c r="H12" s="5">
        <f t="shared" si="5"/>
        <v>29</v>
      </c>
      <c r="I12" s="45"/>
      <c r="J12" s="45"/>
      <c r="K12" s="45"/>
      <c r="L12" s="45"/>
      <c r="M12" s="45"/>
      <c r="N12" s="45"/>
      <c r="O12" s="45"/>
      <c r="P12" s="45"/>
      <c r="Q12" s="45"/>
      <c r="R12" s="45"/>
      <c r="S12" s="45"/>
      <c r="T12" s="45"/>
      <c r="U12" s="45"/>
      <c r="V12" s="45"/>
      <c r="W12" s="45"/>
      <c r="X12" s="45"/>
      <c r="Y12" s="45"/>
      <c r="Z12" s="45"/>
      <c r="AA12" s="45"/>
      <c r="AB12" s="45"/>
      <c r="AC12" s="45"/>
      <c r="AD12" s="45"/>
      <c r="AE12" s="45"/>
      <c r="AF12" s="45"/>
      <c r="AG12" s="45"/>
      <c r="AH12" s="45"/>
      <c r="AI12" s="45"/>
      <c r="AJ12" s="45"/>
      <c r="AK12" s="45"/>
      <c r="AL12" s="45"/>
      <c r="AM12" s="45"/>
      <c r="AN12" s="45"/>
      <c r="AO12" s="45"/>
      <c r="AP12" s="45"/>
      <c r="AQ12" s="45"/>
      <c r="AR12" s="45"/>
      <c r="AS12" s="45"/>
      <c r="AT12" s="45"/>
      <c r="AU12" s="45"/>
      <c r="AV12" s="45"/>
      <c r="AW12" s="45"/>
      <c r="AX12" s="45"/>
      <c r="AY12" s="45"/>
      <c r="AZ12" s="45"/>
      <c r="BA12" s="45"/>
      <c r="BB12" s="45"/>
      <c r="BC12" s="45"/>
      <c r="BD12" s="45"/>
      <c r="BE12" s="45"/>
      <c r="BF12" s="45"/>
      <c r="BG12" s="45"/>
      <c r="BH12" s="45"/>
      <c r="BI12" s="45"/>
      <c r="BJ12" s="45"/>
      <c r="BK12" s="45"/>
      <c r="BL12" s="45"/>
    </row>
    <row r="13" spans="1:64" s="40" customFormat="1" ht="30" customHeight="1" thickBot="1" x14ac:dyDescent="0.45">
      <c r="A13" s="7"/>
      <c r="B13" s="55" t="s">
        <v>22</v>
      </c>
      <c r="C13" s="56" t="s">
        <v>20</v>
      </c>
      <c r="D13" s="57">
        <v>1</v>
      </c>
      <c r="E13" s="58">
        <f>E9+5</f>
        <v>46084</v>
      </c>
      <c r="F13" s="58">
        <f>E9+33</f>
        <v>46112</v>
      </c>
      <c r="G13" s="11"/>
      <c r="H13" s="5">
        <f t="shared" si="5"/>
        <v>29</v>
      </c>
      <c r="I13" s="45"/>
      <c r="J13" s="45"/>
      <c r="K13" s="45"/>
      <c r="L13" s="45"/>
      <c r="M13" s="45"/>
      <c r="N13" s="45"/>
      <c r="O13" s="45"/>
      <c r="P13" s="45"/>
      <c r="Q13" s="45"/>
      <c r="R13" s="45"/>
      <c r="S13" s="45"/>
      <c r="T13" s="45"/>
      <c r="U13" s="49"/>
      <c r="V13" s="49"/>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row>
    <row r="14" spans="1:64" s="40" customFormat="1" ht="30" customHeight="1" thickBot="1" x14ac:dyDescent="0.45">
      <c r="A14" s="7"/>
      <c r="B14" s="55" t="s">
        <v>24</v>
      </c>
      <c r="C14" s="56" t="s">
        <v>20</v>
      </c>
      <c r="D14" s="57">
        <v>1</v>
      </c>
      <c r="E14" s="58">
        <f>E9+5</f>
        <v>46084</v>
      </c>
      <c r="F14" s="58">
        <f>E9+33</f>
        <v>46112</v>
      </c>
      <c r="G14" s="11"/>
      <c r="H14" s="5">
        <f t="shared" si="5"/>
        <v>29</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row>
    <row r="15" spans="1:64" s="40" customFormat="1" ht="30" customHeight="1" thickBot="1" x14ac:dyDescent="0.45">
      <c r="A15" s="7"/>
      <c r="B15" s="59" t="s">
        <v>13</v>
      </c>
      <c r="C15" s="60"/>
      <c r="D15" s="61"/>
      <c r="E15" s="62"/>
      <c r="F15" s="63"/>
      <c r="G15" s="11"/>
      <c r="H15" s="5" t="str">
        <f t="shared" si="5"/>
        <v/>
      </c>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row>
    <row r="16" spans="1:64" s="40" customFormat="1" ht="30" customHeight="1" thickBot="1" x14ac:dyDescent="0.45">
      <c r="A16" s="7"/>
      <c r="B16" s="65" t="s">
        <v>25</v>
      </c>
      <c r="C16" s="66" t="s">
        <v>20</v>
      </c>
      <c r="D16" s="67">
        <v>1</v>
      </c>
      <c r="E16" s="68">
        <f>E9+10</f>
        <v>46089</v>
      </c>
      <c r="F16" s="68">
        <f>E9+33</f>
        <v>46112</v>
      </c>
      <c r="G16" s="11"/>
      <c r="H16" s="5">
        <f t="shared" si="5"/>
        <v>24</v>
      </c>
      <c r="I16" s="45"/>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row>
    <row r="17" spans="1:64" s="40" customFormat="1" ht="30" customHeight="1" thickBot="1" x14ac:dyDescent="0.45">
      <c r="A17" s="7"/>
      <c r="B17" s="65" t="s">
        <v>26</v>
      </c>
      <c r="C17" s="66" t="s">
        <v>20</v>
      </c>
      <c r="D17" s="67">
        <v>1</v>
      </c>
      <c r="E17" s="68">
        <f>E9+10</f>
        <v>46089</v>
      </c>
      <c r="F17" s="68">
        <f>E9+33</f>
        <v>46112</v>
      </c>
      <c r="G17" s="11"/>
      <c r="H17" s="5">
        <f t="shared" si="5"/>
        <v>24</v>
      </c>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5"/>
      <c r="BJ17" s="45"/>
      <c r="BK17" s="45"/>
      <c r="BL17" s="45"/>
    </row>
    <row r="18" spans="1:64" s="40" customFormat="1" ht="30" customHeight="1" thickBot="1" x14ac:dyDescent="0.45">
      <c r="A18" s="7"/>
      <c r="B18" s="65" t="s">
        <v>29</v>
      </c>
      <c r="C18" s="66" t="s">
        <v>20</v>
      </c>
      <c r="D18" s="67">
        <v>1</v>
      </c>
      <c r="E18" s="68">
        <f>E9+10</f>
        <v>46089</v>
      </c>
      <c r="F18" s="68">
        <f>E9+33</f>
        <v>46112</v>
      </c>
      <c r="G18" s="11"/>
      <c r="H18" s="5">
        <f t="shared" si="5"/>
        <v>24</v>
      </c>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5"/>
      <c r="BA18" s="45"/>
      <c r="BB18" s="45"/>
      <c r="BC18" s="45"/>
      <c r="BD18" s="45"/>
      <c r="BE18" s="45"/>
      <c r="BF18" s="45"/>
      <c r="BG18" s="45"/>
      <c r="BH18" s="45"/>
      <c r="BI18" s="45"/>
      <c r="BJ18" s="45"/>
      <c r="BK18" s="45"/>
      <c r="BL18" s="45"/>
    </row>
    <row r="19" spans="1:64" s="40" customFormat="1" ht="30" customHeight="1" thickBot="1" x14ac:dyDescent="0.45">
      <c r="A19" s="7"/>
      <c r="B19" s="65" t="s">
        <v>27</v>
      </c>
      <c r="C19" s="66" t="s">
        <v>20</v>
      </c>
      <c r="D19" s="67">
        <v>1</v>
      </c>
      <c r="E19" s="68">
        <f>E9+10</f>
        <v>46089</v>
      </c>
      <c r="F19" s="68">
        <f>E9+33</f>
        <v>46112</v>
      </c>
      <c r="G19" s="11"/>
      <c r="H19" s="5">
        <f t="shared" si="5"/>
        <v>24</v>
      </c>
      <c r="I19" s="45"/>
      <c r="J19" s="45"/>
      <c r="K19" s="45"/>
      <c r="L19" s="45"/>
      <c r="M19" s="45"/>
      <c r="N19" s="45"/>
      <c r="O19" s="45"/>
      <c r="P19" s="45"/>
      <c r="Q19" s="45"/>
      <c r="R19" s="45"/>
      <c r="S19" s="45"/>
      <c r="T19" s="45"/>
      <c r="U19" s="45"/>
      <c r="V19" s="45"/>
      <c r="W19" s="45"/>
      <c r="X19" s="45"/>
      <c r="Y19" s="45"/>
      <c r="Z19" s="45"/>
      <c r="AA19" s="45"/>
      <c r="AB19" s="45"/>
      <c r="AC19" s="45"/>
      <c r="AD19" s="45"/>
      <c r="AE19" s="45"/>
      <c r="AF19" s="45"/>
      <c r="AG19" s="45"/>
      <c r="AH19" s="45"/>
      <c r="AI19" s="45"/>
      <c r="AJ19" s="45"/>
      <c r="AK19" s="45"/>
      <c r="AL19" s="45"/>
      <c r="AM19" s="45"/>
      <c r="AN19" s="45"/>
      <c r="AO19" s="45"/>
      <c r="AP19" s="45"/>
      <c r="AQ19" s="45"/>
      <c r="AR19" s="45"/>
      <c r="AS19" s="45"/>
      <c r="AT19" s="45"/>
      <c r="AU19" s="45"/>
      <c r="AV19" s="45"/>
      <c r="AW19" s="45"/>
      <c r="AX19" s="45"/>
      <c r="AY19" s="45"/>
      <c r="AZ19" s="45"/>
      <c r="BA19" s="45"/>
      <c r="BB19" s="45"/>
      <c r="BC19" s="45"/>
      <c r="BD19" s="45"/>
      <c r="BE19" s="45"/>
      <c r="BF19" s="45"/>
      <c r="BG19" s="45"/>
      <c r="BH19" s="45"/>
      <c r="BI19" s="45"/>
      <c r="BJ19" s="45"/>
      <c r="BK19" s="45"/>
      <c r="BL19" s="45"/>
    </row>
    <row r="20" spans="1:64" s="40" customFormat="1" ht="30" customHeight="1" thickBot="1" x14ac:dyDescent="0.45">
      <c r="A20" s="7"/>
      <c r="B20" s="65" t="s">
        <v>28</v>
      </c>
      <c r="C20" s="66" t="s">
        <v>20</v>
      </c>
      <c r="D20" s="67">
        <v>1</v>
      </c>
      <c r="E20" s="68">
        <f>E9+10</f>
        <v>46089</v>
      </c>
      <c r="F20" s="68">
        <f>E9+33</f>
        <v>46112</v>
      </c>
      <c r="G20" s="11"/>
      <c r="H20" s="5">
        <f t="shared" si="5"/>
        <v>24</v>
      </c>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c r="AT20" s="45"/>
      <c r="AU20" s="45"/>
      <c r="AV20" s="45"/>
      <c r="AW20" s="45"/>
      <c r="AX20" s="45"/>
      <c r="AY20" s="45"/>
      <c r="AZ20" s="45"/>
      <c r="BA20" s="45"/>
      <c r="BB20" s="45"/>
      <c r="BC20" s="45"/>
      <c r="BD20" s="45"/>
      <c r="BE20" s="45"/>
      <c r="BF20" s="45"/>
      <c r="BG20" s="45"/>
      <c r="BH20" s="45"/>
      <c r="BI20" s="45"/>
      <c r="BJ20" s="45"/>
      <c r="BK20" s="45"/>
      <c r="BL20" s="45"/>
    </row>
    <row r="21" spans="1:64" s="40" customFormat="1" ht="30" customHeight="1" thickBot="1" x14ac:dyDescent="0.45">
      <c r="A21" s="7"/>
      <c r="B21" s="69" t="s">
        <v>15</v>
      </c>
      <c r="C21" s="70"/>
      <c r="D21" s="71"/>
      <c r="E21" s="72"/>
      <c r="F21" s="73"/>
      <c r="G21" s="11"/>
      <c r="H21" s="5" t="str">
        <f t="shared" si="5"/>
        <v/>
      </c>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row>
    <row r="22" spans="1:64" s="40" customFormat="1" ht="30" customHeight="1" thickBot="1" x14ac:dyDescent="0.45">
      <c r="A22" s="7"/>
      <c r="B22" s="75" t="s">
        <v>14</v>
      </c>
      <c r="C22" s="76" t="s">
        <v>20</v>
      </c>
      <c r="D22" s="77">
        <v>1</v>
      </c>
      <c r="E22" s="78">
        <f>E9+15</f>
        <v>46094</v>
      </c>
      <c r="F22" s="78">
        <f>E9+33</f>
        <v>46112</v>
      </c>
      <c r="G22" s="11"/>
      <c r="H22" s="5">
        <f t="shared" si="5"/>
        <v>19</v>
      </c>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row>
    <row r="23" spans="1:64" s="40" customFormat="1" ht="30" customHeight="1" thickBot="1" x14ac:dyDescent="0.45">
      <c r="A23" s="7"/>
      <c r="B23" s="75" t="s">
        <v>16</v>
      </c>
      <c r="C23" s="76" t="s">
        <v>20</v>
      </c>
      <c r="D23" s="77">
        <v>1</v>
      </c>
      <c r="E23" s="78">
        <f>E9+15</f>
        <v>46094</v>
      </c>
      <c r="F23" s="78">
        <f>E9+33</f>
        <v>46112</v>
      </c>
      <c r="G23" s="11"/>
      <c r="H23" s="5">
        <f t="shared" si="5"/>
        <v>19</v>
      </c>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5"/>
      <c r="BA23" s="45"/>
      <c r="BB23" s="45"/>
      <c r="BC23" s="45"/>
      <c r="BD23" s="45"/>
      <c r="BE23" s="45"/>
      <c r="BF23" s="45"/>
      <c r="BG23" s="45"/>
      <c r="BH23" s="45"/>
      <c r="BI23" s="45"/>
      <c r="BJ23" s="45"/>
      <c r="BK23" s="45"/>
      <c r="BL23" s="45"/>
    </row>
    <row r="24" spans="1:64" s="40" customFormat="1" ht="30" customHeight="1" thickBot="1" x14ac:dyDescent="0.45">
      <c r="A24" s="7"/>
      <c r="B24" s="75" t="s">
        <v>17</v>
      </c>
      <c r="C24" s="76" t="s">
        <v>20</v>
      </c>
      <c r="D24" s="77">
        <v>1</v>
      </c>
      <c r="E24" s="78">
        <f>E9+15</f>
        <v>46094</v>
      </c>
      <c r="F24" s="78">
        <f>E9+33</f>
        <v>46112</v>
      </c>
      <c r="G24" s="11"/>
      <c r="H24" s="5">
        <f t="shared" si="5"/>
        <v>19</v>
      </c>
      <c r="I24" s="45"/>
      <c r="J24" s="45"/>
      <c r="K24" s="45"/>
      <c r="L24" s="45"/>
      <c r="M24" s="45"/>
      <c r="N24" s="45"/>
      <c r="O24" s="45"/>
      <c r="P24" s="45"/>
      <c r="Q24" s="45"/>
      <c r="R24" s="45"/>
      <c r="S24" s="45"/>
      <c r="T24" s="45"/>
      <c r="U24" s="45"/>
      <c r="V24" s="45"/>
      <c r="W24" s="45"/>
      <c r="X24" s="45"/>
      <c r="Y24" s="45"/>
      <c r="Z24" s="45"/>
      <c r="AA24" s="45"/>
      <c r="AB24" s="45"/>
      <c r="AC24" s="45"/>
      <c r="AD24" s="45"/>
      <c r="AE24" s="45"/>
      <c r="AF24" s="45"/>
      <c r="AG24" s="45"/>
      <c r="AH24" s="45"/>
      <c r="AI24" s="45"/>
      <c r="AJ24" s="45"/>
      <c r="AK24" s="45"/>
      <c r="AL24" s="45"/>
      <c r="AM24" s="45"/>
      <c r="AN24" s="45"/>
      <c r="AO24" s="45"/>
      <c r="AP24" s="45"/>
      <c r="AQ24" s="45"/>
      <c r="AR24" s="45"/>
      <c r="AS24" s="45"/>
      <c r="AT24" s="45"/>
      <c r="AU24" s="45"/>
      <c r="AV24" s="45"/>
      <c r="AW24" s="45"/>
      <c r="AX24" s="45"/>
      <c r="AY24" s="45"/>
      <c r="AZ24" s="45"/>
      <c r="BA24" s="45"/>
      <c r="BB24" s="45"/>
      <c r="BC24" s="45"/>
      <c r="BD24" s="45"/>
      <c r="BE24" s="45"/>
      <c r="BF24" s="45"/>
      <c r="BG24" s="45"/>
      <c r="BH24" s="45"/>
      <c r="BI24" s="45"/>
      <c r="BJ24" s="45"/>
      <c r="BK24" s="45"/>
      <c r="BL24" s="45"/>
    </row>
    <row r="25" spans="1:64" s="40" customFormat="1" ht="30" customHeight="1" thickBot="1" x14ac:dyDescent="0.45">
      <c r="A25" s="7"/>
      <c r="B25" s="79"/>
      <c r="C25" s="80"/>
      <c r="D25" s="81"/>
      <c r="E25" s="82"/>
      <c r="F25" s="82"/>
      <c r="G25" s="11"/>
      <c r="H25" s="5" t="str">
        <f t="shared" si="5"/>
        <v/>
      </c>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39"/>
    </row>
    <row r="26" spans="1:64" s="40" customFormat="1" ht="30" customHeight="1" thickBot="1" x14ac:dyDescent="0.45">
      <c r="A26" s="8"/>
      <c r="B26" s="83" t="s">
        <v>18</v>
      </c>
      <c r="C26" s="84"/>
      <c r="D26" s="85"/>
      <c r="E26" s="86"/>
      <c r="F26" s="87"/>
      <c r="G26" s="11"/>
      <c r="H26" s="6" t="str">
        <f t="shared" si="5"/>
        <v/>
      </c>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row>
    <row r="27" spans="1:64" ht="30" customHeight="1" x14ac:dyDescent="0.4">
      <c r="G27" s="3"/>
    </row>
    <row r="28" spans="1:64" ht="30" customHeight="1" x14ac:dyDescent="0.4">
      <c r="C28" s="10"/>
      <c r="F28" s="9"/>
    </row>
    <row r="29" spans="1:64" ht="30" customHeight="1" x14ac:dyDescent="0.4">
      <c r="C29" s="4"/>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26">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4">
    <cfRule type="expression" dxfId="8" priority="1">
      <formula>AND(TODAY()&gt;=I$5, TODAY()&lt;J$5)</formula>
    </cfRule>
  </conditionalFormatting>
  <conditionalFormatting sqref="I9:BL10">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2:BL14">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16:BL20">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2:BL24">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1" xr:uid="{4F48FC41-E335-47F1-87AA-3333A52AD81C}"/>
    <dataValidation allowBlank="1" showInputMessage="1" showErrorMessage="1" prompt="Phase 3's sample block starts in cell B20." sqref="A15" xr:uid="{956902D1-D3B5-416D-BB69-9362D193BC0A}"/>
    <dataValidation allowBlank="1" showInputMessage="1" showErrorMessage="1" prompt="Phase 4's sample block starts in cell B26." sqref="A21"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6"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5" ma:contentTypeDescription="Create a new document." ma:contentTypeScope="" ma:versionID="ce7354d7ccaa1fc647d63610353e7b63">
  <xsd:schema xmlns:xsd="http://www.w3.org/2001/XMLSchema" xmlns:xs="http://www.w3.org/2001/XMLSchema" xmlns:p="http://schemas.microsoft.com/office/2006/metadata/properties" xmlns:ns3="d94ee4e4-02cb-4da0-9dbe-ce518434d583" targetNamespace="http://schemas.microsoft.com/office/2006/metadata/properties" ma:root="true" ma:fieldsID="c4ce034fa8db335114411fc0963a97e6"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5E1BB078-7F97-4E91-8B7C-5557D4D8FE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schemas.microsoft.com/office/2006/documentManagement/types"/>
    <ds:schemaRef ds:uri="http://purl.org/dc/dcmitype/"/>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d94ee4e4-02cb-4da0-9dbe-ce518434d583"/>
    <ds:schemaRef ds:uri="http://www.w3.org/XML/1998/namespac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Kaycie Lane</dc:creator>
  <cp:keywords/>
  <dc:description/>
  <cp:lastModifiedBy>Eddie Vargas</cp:lastModifiedBy>
  <cp:revision/>
  <dcterms:created xsi:type="dcterms:W3CDTF">2022-03-11T22:41:12Z</dcterms:created>
  <dcterms:modified xsi:type="dcterms:W3CDTF">2026-04-03T16:09:44Z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0x010100496DD1FC206C7E4C8297AEA9970FAC90</vt:lpwstr>
  </property>
  <property fmtid="{D5CDD505-2E9C-101B-9397-08002B2CF9AE}" pid="3" name="MediaServiceImageTags">
    <vt:lpwstr/>
  </property>
</Properties>
</file>