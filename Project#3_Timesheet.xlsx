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\Downloads\"/>
    </mc:Choice>
  </mc:AlternateContent>
  <xr:revisionPtr revIDLastSave="0" documentId="8_{D094AB92-A2E6-4B2E-94B8-77B9C43C142B}" xr6:coauthVersionLast="47" xr6:coauthVersionMax="47" xr10:uidLastSave="{00000000-0000-0000-0000-000000000000}"/>
  <bookViews>
    <workbookView xWindow="-93" yWindow="-93" windowWidth="21520" windowHeight="12800" xr2:uid="{4C8D2BED-FB0B-44EA-A1E6-2323A2037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B2" i="1"/>
  <c r="B3" i="1"/>
  <c r="B5" i="1"/>
  <c r="B4" i="1"/>
  <c r="B6" i="1"/>
  <c r="B7" i="1"/>
  <c r="B8" i="1"/>
</calcChain>
</file>

<file path=xl/sharedStrings.xml><?xml version="1.0" encoding="utf-8"?>
<sst xmlns="http://schemas.openxmlformats.org/spreadsheetml/2006/main" count="30" uniqueCount="22">
  <si>
    <t>Day of Week</t>
  </si>
  <si>
    <t>Date</t>
  </si>
  <si>
    <t>Person</t>
  </si>
  <si>
    <t>Hours Worked</t>
  </si>
  <si>
    <t>Task Completed</t>
  </si>
  <si>
    <t>Hourly Rate</t>
  </si>
  <si>
    <t>Total Compensation</t>
  </si>
  <si>
    <t>Eddie Vargas</t>
  </si>
  <si>
    <t>Tuesday</t>
  </si>
  <si>
    <t>Review client prompt
Understanding the datasets</t>
  </si>
  <si>
    <t>Wednesday</t>
  </si>
  <si>
    <t>Finish SOW and 
Gantt Chart</t>
  </si>
  <si>
    <t>Finish ACD</t>
  </si>
  <si>
    <t>Upload averything to GitHub and Finish Timesheet</t>
  </si>
  <si>
    <t xml:space="preserve">Finish the code </t>
  </si>
  <si>
    <t>Starting the Report</t>
  </si>
  <si>
    <t>Finish Report</t>
  </si>
  <si>
    <t>Friday</t>
  </si>
  <si>
    <t>Saturday</t>
  </si>
  <si>
    <t>Sunday</t>
  </si>
  <si>
    <t>Monday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</si>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</sst>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44" fontId="0" fillId="0" borderId="0" xfId="1" applyFont="1"/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7AB2-F90A-419D-9AC1-0230ADB23995}">
  <dimension ref="A1:G9"/>
  <sheetViews>
    <sheetView tabSelected="1" workbookViewId="0">
      <selection activeCell="F13" sqref="F13"/>
    </sheetView>
  </sheetViews>
  <sheetFormatPr defaultRowHeight="14.35" x14ac:dyDescent="0.5"/>
  <cols>
    <col min="1" max="1" width="10.3515625" bestFit="1" customWidth="1"/>
    <col min="3" max="3" width="10.76171875" bestFit="1" customWidth="1"/>
    <col min="4" max="4" width="11.8203125" customWidth="1"/>
    <col min="5" max="5" width="19.41015625" customWidth="1"/>
    <col min="6" max="6" width="9.76171875" bestFit="1" customWidth="1"/>
    <col min="7" max="7" width="16.52734375" bestFit="1" customWidth="1"/>
  </cols>
  <sheetData>
    <row r="1" spans="1:7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7.35" x14ac:dyDescent="0.5">
      <c r="A2" t="s">
        <v>8</v>
      </c>
      <c r="B2" s="1">
        <f>DATE(2026,3,24)</f>
        <v>46105</v>
      </c>
      <c r="C2" t="s">
        <v>7</v>
      </c>
      <c r="D2">
        <v>1</v>
      </c>
      <c r="E2" s="2" t="s">
        <v>9</v>
      </c>
      <c r="F2" s="6">
        <v>30</v>
      </c>
      <c r="G2" s="6">
        <v>30</v>
      </c>
    </row>
    <row r="3" spans="1:7" ht="28.7" x14ac:dyDescent="0.5">
      <c r="A3" t="s">
        <v>10</v>
      </c>
      <c r="B3" s="1">
        <f>DATE(2026,3,25)</f>
        <v>46106</v>
      </c>
      <c r="C3" t="s">
        <v>7</v>
      </c>
      <c r="D3">
        <v>2</v>
      </c>
      <c r="E3" s="2" t="s">
        <v>11</v>
      </c>
      <c r="F3" s="6">
        <v>30</v>
      </c>
      <c r="G3" s="6">
        <v>60</v>
      </c>
    </row>
    <row r="4" spans="1:7" x14ac:dyDescent="0.5">
      <c r="A4" t="s">
        <v>17</v>
      </c>
      <c r="B4" s="1">
        <f>DATE(2026,3,27)</f>
        <v>46108</v>
      </c>
      <c r="C4" t="s">
        <v>7</v>
      </c>
      <c r="D4">
        <v>1</v>
      </c>
      <c r="E4" t="s">
        <v>15</v>
      </c>
      <c r="F4" s="6">
        <v>31</v>
      </c>
      <c r="G4" s="6">
        <v>31</v>
      </c>
    </row>
    <row r="5" spans="1:7" x14ac:dyDescent="0.5">
      <c r="A5" t="s">
        <v>18</v>
      </c>
      <c r="B5" s="1">
        <f>DATE(2026,3,28)</f>
        <v>46109</v>
      </c>
      <c r="C5" t="s">
        <v>7</v>
      </c>
      <c r="D5">
        <v>3</v>
      </c>
      <c r="E5" t="s">
        <v>14</v>
      </c>
      <c r="F5" s="6">
        <v>30</v>
      </c>
      <c r="G5" s="6">
        <v>90</v>
      </c>
    </row>
    <row r="6" spans="1:7" x14ac:dyDescent="0.5">
      <c r="A6" t="s">
        <v>19</v>
      </c>
      <c r="B6" s="1">
        <f>DATE(2026,3,29)</f>
        <v>46110</v>
      </c>
      <c r="C6" t="s">
        <v>7</v>
      </c>
      <c r="D6">
        <v>1</v>
      </c>
      <c r="E6" t="s">
        <v>12</v>
      </c>
      <c r="F6" s="6">
        <v>34</v>
      </c>
      <c r="G6" s="6">
        <v>34</v>
      </c>
    </row>
    <row r="7" spans="1:7" x14ac:dyDescent="0.5">
      <c r="A7" t="s">
        <v>20</v>
      </c>
      <c r="B7" s="1">
        <f>DATE(2026,3,30)</f>
        <v>46111</v>
      </c>
      <c r="C7" t="s">
        <v>7</v>
      </c>
      <c r="D7">
        <v>2</v>
      </c>
      <c r="E7" s="2" t="s">
        <v>16</v>
      </c>
      <c r="F7" s="6">
        <v>30</v>
      </c>
      <c r="G7" s="6">
        <v>60</v>
      </c>
    </row>
    <row r="8" spans="1:7" ht="43" x14ac:dyDescent="0.5">
      <c r="A8" t="s">
        <v>8</v>
      </c>
      <c r="B8" s="1">
        <f>DATE(2026,3,31)</f>
        <v>46112</v>
      </c>
      <c r="C8" t="s">
        <v>7</v>
      </c>
      <c r="D8">
        <v>1</v>
      </c>
      <c r="E8" s="2" t="s">
        <v>13</v>
      </c>
      <c r="F8" s="6">
        <v>30</v>
      </c>
      <c r="G8" s="6">
        <v>30</v>
      </c>
    </row>
    <row r="9" spans="1:7" x14ac:dyDescent="0.5">
      <c r="A9" s="4"/>
      <c r="B9" s="4" t="s">
        <v>21</v>
      </c>
      <c r="C9" s="5"/>
      <c r="D9">
        <v>10</v>
      </c>
      <c r="E9" s="7" t="s">
        <v>21</v>
      </c>
      <c r="F9" s="5"/>
      <c r="G9" s="6">
        <f>SUM(G2:G8)</f>
        <v>335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4ee4e4-02cb-4da0-9dbe-ce518434d5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6DD1FC206C7E4C8297AEA9970FAC90" ma:contentTypeVersion="5" ma:contentTypeDescription="Create a new document." ma:contentTypeScope="" ma:versionID="ce7354d7ccaa1fc647d63610353e7b63">
  <xsd:schema xmlns:xsd="http://www.w3.org/2001/XMLSchema" xmlns:xs="http://www.w3.org/2001/XMLSchema" xmlns:p="http://schemas.microsoft.com/office/2006/metadata/properties" xmlns:ns3="d94ee4e4-02cb-4da0-9dbe-ce518434d583" targetNamespace="http://schemas.microsoft.com/office/2006/metadata/properties" ma:root="true" ma:fieldsID="c4ce034fa8db335114411fc0963a97e6" ns3:_="">
    <xsd:import namespace="d94ee4e4-02cb-4da0-9dbe-ce518434d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e4e4-02cb-4da0-9dbe-ce518434d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536036-0384-4881-AA36-210676504795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d94ee4e4-02cb-4da0-9dbe-ce518434d58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1DB4FD-B724-451D-980C-24EBE7B80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ee4e4-02cb-4da0-9dbe-ce518434d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7A64F-A70F-49D4-B32B-BBB8052AAC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Vargas</dc:creator>
  <cp:lastModifiedBy>Eddie Vargas</cp:lastModifiedBy>
  <dcterms:created xsi:type="dcterms:W3CDTF">2026-04-03T16:17:51Z</dcterms:created>
  <dcterms:modified xsi:type="dcterms:W3CDTF">2026-04-03T17:19:40Z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0x010100496DD1FC206C7E4C8297AEA9970FAC90</vt:lpwstr>
  </property>
</Properties>
</file>